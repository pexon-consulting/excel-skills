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kulation" sheetId="1" state="visible" r:id="rId1"/>
    <sheet name="Lieferan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Menge</t>
        </is>
      </c>
      <c r="C1" t="inlineStr">
        <is>
          <t>Preis</t>
        </is>
      </c>
      <c r="D1" t="inlineStr">
        <is>
          <t>Summe</t>
        </is>
      </c>
      <c r="E1" t="inlineStr">
        <is>
          <t>Lieferant</t>
        </is>
      </c>
      <c r="F1" t="inlineStr">
        <is>
          <t>Anteil</t>
        </is>
      </c>
    </row>
    <row r="2">
      <c r="A2" t="inlineStr">
        <is>
          <t>A-100</t>
        </is>
      </c>
      <c r="B2" t="n">
        <v>10</v>
      </c>
      <c r="C2" t="n">
        <v>2.5</v>
      </c>
      <c r="D2">
        <f>B2*C2</f>
        <v>25</v>
      </c>
      <c r="E2" t="str">
        <f>VLOOKUP(A2,Lieferanten!A:B,2,FALSE)</f>
        <v>Muster Metall GmbH</v>
      </c>
      <c r="F2">
        <f>D2/B2</f>
        <v>2.5</v>
      </c>
    </row>
    <row r="3">
      <c r="A3" t="inlineStr">
        <is>
          <t>A-200</t>
        </is>
      </c>
      <c r="B3" t="n">
        <v>4</v>
      </c>
      <c r="C3" t="n">
        <v>12</v>
      </c>
      <c r="D3">
        <f>B3*C3</f>
        <v>48</v>
      </c>
      <c r="E3" t="str">
        <f>VLOOKUP(A3,Lieferanten!A:B,2,FALSE)</f>
        <v>Beispiel Kunststoff AG</v>
      </c>
      <c r="F3">
        <f>D3/B3</f>
        <v>12</v>
      </c>
    </row>
    <row r="4">
      <c r="A4" t="inlineStr">
        <is>
          <t>A-300</t>
        </is>
      </c>
      <c r="B4" t="n">
        <v>7</v>
      </c>
      <c r="C4" t="n">
        <v>3.2</v>
      </c>
      <c r="D4" t="n">
        <v>99</v>
      </c>
      <c r="E4" t="str">
        <f>VLOOKUP(A4,Lieferanten!A:B,2,FALSE)</f>
        <v>Muster Metall GmbH</v>
      </c>
      <c r="F4">
        <f>D4/B4</f>
        <v>33</v>
      </c>
    </row>
    <row r="5">
      <c r="A5" t="inlineStr">
        <is>
          <t>A-999</t>
        </is>
      </c>
      <c r="B5" t="n">
        <v>3</v>
      </c>
      <c r="C5" t="n">
        <v>8</v>
      </c>
      <c r="D5" t="e">
        <f>B5*#REF!</f>
        <v>#REF!</v>
      </c>
      <c r="E5" t="e">
        <f>VLOOKUP(A5,Lieferanten!A:B,2,FALSE)</f>
        <v>#N/A</v>
      </c>
      <c r="F5" t="e">
        <f>D5/B5</f>
        <v>#REF!</v>
      </c>
    </row>
    <row r="6">
      <c r="A6" t="inlineStr">
        <is>
          <t>A-400</t>
        </is>
      </c>
      <c r="B6" t="n">
        <v>0</v>
      </c>
      <c r="C6" t="n">
        <v>5</v>
      </c>
      <c r="D6">
        <f>B6*C6</f>
        <v>0</v>
      </c>
      <c r="E6" t="str">
        <f>VLOOKUP(A6,Lieferanten!A:B,2,FALSE)</f>
        <v>Muster Handel KG</v>
      </c>
      <c r="F6" t="e">
        <f>D6/B6</f>
        <v>#DIV/0!</v>
      </c>
    </row>
    <row r="7">
      <c r="A7" t="inlineStr">
        <is>
          <t>A-500</t>
        </is>
      </c>
      <c r="B7" t="n">
        <v>6</v>
      </c>
      <c r="C7" t="n">
        <v>1.5</v>
      </c>
      <c r="E7" t="str">
        <f>VLOOKUP(A7,Lieferanten!A:B,2,FALSE)</f>
        <v>Beispiel Werkzeuge GmbH</v>
      </c>
      <c r="F7">
        <f>D7/B7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Lieferant</t>
        </is>
      </c>
      <c r="C1" t="inlineStr">
        <is>
          <t>Listenpreis extern</t>
        </is>
      </c>
    </row>
    <row r="2">
      <c r="A2" t="inlineStr">
        <is>
          <t>A-100</t>
        </is>
      </c>
      <c r="B2" t="inlineStr">
        <is>
          <t>Muster Metall GmbH</t>
        </is>
      </c>
      <c r="C2">
        <f>'[1]Preisliste'!B2</f>
        <v/>
      </c>
    </row>
    <row r="3">
      <c r="A3" t="inlineStr">
        <is>
          <t>A-200</t>
        </is>
      </c>
      <c r="B3" t="inlineStr">
        <is>
          <t>Beispiel Kunststoff AG</t>
        </is>
      </c>
    </row>
    <row r="4">
      <c r="A4" t="inlineStr">
        <is>
          <t>A-300</t>
        </is>
      </c>
      <c r="B4" t="inlineStr">
        <is>
          <t>Muster Metall GmbH</t>
        </is>
      </c>
    </row>
    <row r="5">
      <c r="A5" t="inlineStr">
        <is>
          <t>A-400</t>
        </is>
      </c>
      <c r="B5" t="inlineStr">
        <is>
          <t>Muster Handel KG</t>
        </is>
      </c>
    </row>
    <row r="6">
      <c r="A6" t="inlineStr">
        <is>
          <t>A-500</t>
        </is>
      </c>
      <c r="B6" t="inlineStr">
        <is>
          <t>Beispiel Werkzeuge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